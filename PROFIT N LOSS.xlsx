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796" activeTab="1"/>
  </bookViews>
  <sheets>
    <sheet name="PNL" sheetId="1" r:id="rId1"/>
    <sheet name="Expenses" sheetId="2" r:id="rId2"/>
    <sheet name="Receivables" sheetId="3" r:id="rId3"/>
    <sheet name="Contact Name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<sst xmlns="http://schemas.openxmlformats.org/spreadsheetml/2006/main" count="206" uniqueCount="137">
  <si>
    <t>MRS MEAT  TRADING</t>
  </si>
  <si>
    <t xml:space="preserve">Income Statement for Account of Hospitality </t>
  </si>
  <si>
    <t>For the Month of July 20-25, 2026</t>
  </si>
  <si>
    <t>Total</t>
  </si>
  <si>
    <t>Trading Prods -  Sales</t>
  </si>
  <si>
    <t>Total  Sales</t>
  </si>
  <si>
    <t>Trading Product Cost-</t>
  </si>
  <si>
    <t>Sales Return</t>
  </si>
  <si>
    <t>COS Truck Maint, Fuel &amp; Insur.</t>
  </si>
  <si>
    <t>Truck Rental</t>
  </si>
  <si>
    <t>Truck Diesel/Cash Card/Parking</t>
  </si>
  <si>
    <t>Trucks maintenance/Motor</t>
  </si>
  <si>
    <t>Delivery Truck Insurance</t>
  </si>
  <si>
    <t>Packing Material &amp; Store supply</t>
  </si>
  <si>
    <t xml:space="preserve">Wages on Call Helpers and repacker </t>
  </si>
  <si>
    <t xml:space="preserve">Cold Room Electricity </t>
  </si>
  <si>
    <t xml:space="preserve">Airfreight Charges </t>
  </si>
  <si>
    <t>Delivery/Bank Charges</t>
  </si>
  <si>
    <t>TOTAL COS</t>
  </si>
  <si>
    <t>Gross Profit before Wastage</t>
  </si>
  <si>
    <t xml:space="preserve">Wastages </t>
  </si>
  <si>
    <t>Gross Profit</t>
  </si>
  <si>
    <t>Selling, General &amp; Admin Expenses</t>
  </si>
  <si>
    <t>Legal Fees</t>
  </si>
  <si>
    <t>Audit Fee</t>
  </si>
  <si>
    <t>Other prof fee</t>
  </si>
  <si>
    <t>Taxes &amp; Licenses</t>
  </si>
  <si>
    <t>Bank Charges/others</t>
  </si>
  <si>
    <t>Meals</t>
  </si>
  <si>
    <t>Toll Fee</t>
  </si>
  <si>
    <t>Office Supplies</t>
  </si>
  <si>
    <t>Resiko</t>
  </si>
  <si>
    <t>Rent</t>
  </si>
  <si>
    <t>Representation</t>
  </si>
  <si>
    <t>Telephone, Internet</t>
  </si>
  <si>
    <t>Electricity &amp; Water</t>
  </si>
  <si>
    <t>Office maintenance</t>
  </si>
  <si>
    <t>Office Equipment</t>
  </si>
  <si>
    <t>Staff Amenities/last pay</t>
  </si>
  <si>
    <t>Transportation exp</t>
  </si>
  <si>
    <t>Bad Debts</t>
  </si>
  <si>
    <t>Salaries and Wages</t>
  </si>
  <si>
    <t>Employer Contribution/seperation  fee</t>
  </si>
  <si>
    <t>Commision payment</t>
  </si>
  <si>
    <t>13th Month Pay</t>
  </si>
  <si>
    <t>Total Selling, General &amp; Admin Expenses</t>
  </si>
  <si>
    <t>Operating Profit</t>
  </si>
  <si>
    <t>Other Income</t>
  </si>
  <si>
    <t>Interest Income</t>
  </si>
  <si>
    <t>Forex Exchange Gain (Loss)</t>
  </si>
  <si>
    <t>Total Other Income</t>
  </si>
  <si>
    <t>Other Expenses</t>
  </si>
  <si>
    <t>Interest expense</t>
  </si>
  <si>
    <t>Total Other Expenses</t>
  </si>
  <si>
    <t>Net Profit / (Loss)</t>
  </si>
  <si>
    <t xml:space="preserve">Net Profit / (Loss) </t>
  </si>
  <si>
    <t>JA</t>
  </si>
  <si>
    <t>MAM MAILA</t>
  </si>
  <si>
    <t>MAM BENG</t>
  </si>
  <si>
    <t xml:space="preserve"> Expenses</t>
  </si>
  <si>
    <t>Date</t>
  </si>
  <si>
    <t>Salaries</t>
  </si>
  <si>
    <t>Purchase</t>
  </si>
  <si>
    <t>Qtr Tax</t>
  </si>
  <si>
    <t>7/20/26</t>
  </si>
  <si>
    <t>Josh</t>
  </si>
  <si>
    <t>7/25/26</t>
  </si>
  <si>
    <t>Amnt</t>
  </si>
  <si>
    <t>Process recibo fee</t>
  </si>
  <si>
    <t>1 Driver</t>
  </si>
  <si>
    <t>Castro</t>
  </si>
  <si>
    <t>Sop Recibo</t>
  </si>
  <si>
    <t>Bdo Deposit</t>
  </si>
  <si>
    <t>7/24/26</t>
  </si>
  <si>
    <t>Atty Notarize</t>
  </si>
  <si>
    <t>Bmc Sop</t>
  </si>
  <si>
    <t>Truck/van Rent</t>
  </si>
  <si>
    <t>Qty</t>
  </si>
  <si>
    <t>Price</t>
  </si>
  <si>
    <t>Gasoline</t>
  </si>
  <si>
    <t>Bf Tenderloin</t>
  </si>
  <si>
    <t>meals</t>
  </si>
  <si>
    <t>kilos</t>
  </si>
  <si>
    <t>Labor/park</t>
  </si>
  <si>
    <t>Carrots</t>
  </si>
  <si>
    <t>Garlic peeled</t>
  </si>
  <si>
    <t>Green Chilli</t>
  </si>
  <si>
    <t>Onion Leeks</t>
  </si>
  <si>
    <t>Red Onions</t>
  </si>
  <si>
    <t>White Onion</t>
  </si>
  <si>
    <t>Turnips</t>
  </si>
  <si>
    <t>White Sugar</t>
  </si>
  <si>
    <t>Brown Sugar</t>
  </si>
  <si>
    <t>labor/park</t>
  </si>
  <si>
    <t>Sop bmc</t>
  </si>
  <si>
    <t>driver 1</t>
  </si>
  <si>
    <t>driver 2</t>
  </si>
  <si>
    <t>truck rent</t>
  </si>
  <si>
    <t>Sales Invoice</t>
  </si>
  <si>
    <t>Bdo Checking Account</t>
  </si>
  <si>
    <t>Invoice no</t>
  </si>
  <si>
    <t>Name</t>
  </si>
  <si>
    <t>Item</t>
  </si>
  <si>
    <t>001</t>
  </si>
  <si>
    <t>Blue Lutos</t>
  </si>
  <si>
    <t>Bf tenderloin</t>
  </si>
  <si>
    <t>07/24/2026</t>
  </si>
  <si>
    <t>002</t>
  </si>
  <si>
    <t>Bmc Corp</t>
  </si>
  <si>
    <t>7/25/2026</t>
  </si>
  <si>
    <t>Intial Deposit</t>
  </si>
  <si>
    <t>Garlic Peeled</t>
  </si>
  <si>
    <t>White Onions</t>
  </si>
  <si>
    <t>White sugar</t>
  </si>
  <si>
    <t>Brown sugar</t>
  </si>
  <si>
    <t>Suppler</t>
  </si>
  <si>
    <t>Customer</t>
  </si>
  <si>
    <t>davao 666 trading</t>
  </si>
  <si>
    <t>227-0766</t>
  </si>
  <si>
    <t>09173939118</t>
  </si>
  <si>
    <t>ahos bombay</t>
  </si>
  <si>
    <t xml:space="preserve">bmc corp </t>
  </si>
  <si>
    <t>09223006633</t>
  </si>
  <si>
    <t>Ms. arlene</t>
  </si>
  <si>
    <t>09062118112</t>
  </si>
  <si>
    <t>09989712906</t>
  </si>
  <si>
    <t>sheng kun enterprises</t>
  </si>
  <si>
    <t>09561544540</t>
  </si>
  <si>
    <t>onion</t>
  </si>
  <si>
    <t>09606855860</t>
  </si>
  <si>
    <t>Tap one</t>
  </si>
  <si>
    <t>220-1637</t>
  </si>
  <si>
    <t>Sugar</t>
  </si>
  <si>
    <t>Dusit</t>
  </si>
  <si>
    <t>221-0625</t>
  </si>
  <si>
    <t>ms. issa</t>
  </si>
  <si>
    <t>09613600388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</si>
</sst>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"/>
  </numFmts>
  <fonts count="55">
    <font>
      <sz val="11"/>
      <color theme="1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3"/>
      <color rgb="FFFF0000"/>
      <name val="Aptos Narrow"/>
      <charset val="134"/>
      <scheme val="minor"/>
    </font>
    <font>
      <sz val="13"/>
      <color theme="1"/>
      <name val="Aptos Narrow"/>
      <charset val="134"/>
      <scheme val="minor"/>
    </font>
    <font>
      <b/>
      <sz val="13"/>
      <name val="Aptos Narrow"/>
      <charset val="134"/>
      <scheme val="minor"/>
    </font>
    <font>
      <b/>
      <sz val="13"/>
      <name val="Arial"/>
      <charset val="134"/>
    </font>
    <font>
      <b/>
      <sz val="13"/>
      <color rgb="FFFF0000"/>
      <name val="Arial"/>
      <charset val="134"/>
    </font>
    <font>
      <b/>
      <sz val="12"/>
      <color rgb="FFFF0000"/>
      <name val="Arial"/>
      <charset val="134"/>
    </font>
    <font>
      <b/>
      <sz val="11"/>
      <color theme="0"/>
      <name val="Arial"/>
      <charset val="134"/>
    </font>
    <font>
      <b/>
      <sz val="12"/>
      <color theme="0"/>
      <name val="Arial"/>
      <charset val="134"/>
    </font>
    <font>
      <sz val="13"/>
      <name val="Arial"/>
      <charset val="134"/>
    </font>
    <font>
      <b/>
      <sz val="13"/>
      <color theme="1"/>
      <name val="Aptos Narrow"/>
      <charset val="134"/>
      <scheme val="minor"/>
    </font>
    <font>
      <sz val="12"/>
      <name val="Arial"/>
      <charset val="134"/>
    </font>
    <font>
      <b/>
      <sz val="12"/>
      <color theme="1"/>
      <name val="Arial"/>
      <charset val="134"/>
    </font>
    <font>
      <sz val="11"/>
      <name val="Aptos Narrow"/>
      <charset val="134"/>
      <scheme val="minor"/>
    </font>
    <font>
      <sz val="13"/>
      <color theme="1"/>
      <name val="Arial"/>
      <charset val="134"/>
    </font>
    <font>
      <sz val="11"/>
      <name val="Arial"/>
      <charset val="134"/>
    </font>
    <font>
      <sz val="13"/>
      <name val="Aptos Narrow"/>
      <charset val="134"/>
      <scheme val="minor"/>
    </font>
    <font>
      <sz val="12"/>
      <name val="Aptos Narrow"/>
      <charset val="134"/>
      <scheme val="minor"/>
    </font>
    <font>
      <b/>
      <sz val="13"/>
      <color rgb="FFFF0000"/>
      <name val="Aptos Narrow"/>
      <charset val="134"/>
      <scheme val="minor"/>
    </font>
    <font>
      <b/>
      <sz val="11"/>
      <color rgb="FFFF0000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b/>
      <sz val="13"/>
      <color theme="0"/>
      <name val="Arial"/>
      <charset val="134"/>
    </font>
    <font>
      <sz val="11"/>
      <color rgb="FFFF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11"/>
      <name val="Aptos Narrow"/>
      <charset val="134"/>
      <scheme val="minor"/>
    </font>
    <font>
      <b/>
      <sz val="12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0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6" borderId="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8" applyNumberFormat="0" applyAlignment="0" applyProtection="0">
      <alignment vertical="center"/>
    </xf>
    <xf numFmtId="0" fontId="44" fillId="8" borderId="9" applyNumberFormat="0" applyAlignment="0" applyProtection="0">
      <alignment vertical="center"/>
    </xf>
    <xf numFmtId="0" fontId="45" fillId="8" borderId="8" applyNumberFormat="0" applyAlignment="0" applyProtection="0">
      <alignment vertical="center"/>
    </xf>
    <xf numFmtId="0" fontId="46" fillId="9" borderId="10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54" fillId="0" borderId="0"/>
    <xf numFmtId="0" fontId="54" fillId="0" borderId="0"/>
    <xf numFmtId="9" fontId="54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176" fontId="0" fillId="0" borderId="0" xfId="1"/>
    <xf numFmtId="0" fontId="2" fillId="0" borderId="0" xfId="0" applyFont="1"/>
    <xf numFmtId="0" fontId="3" fillId="0" borderId="0" xfId="0" applyFont="1" applyAlignment="1">
      <alignment horizontal="center"/>
    </xf>
    <xf numFmtId="176" fontId="3" fillId="0" borderId="0" xfId="1" applyFont="1" applyAlignment="1">
      <alignment horizontal="center"/>
    </xf>
    <xf numFmtId="0" fontId="3" fillId="0" borderId="0" xfId="0" applyFont="1"/>
    <xf numFmtId="176" fontId="1" fillId="0" borderId="0" xfId="1" applyFont="1"/>
    <xf numFmtId="0" fontId="2" fillId="0" borderId="1" xfId="0" applyFont="1" applyBorder="1"/>
    <xf numFmtId="176" fontId="0" fillId="0" borderId="1" xfId="1" applyBorder="1"/>
    <xf numFmtId="0" fontId="0" fillId="0" borderId="1" xfId="0" applyBorder="1"/>
    <xf numFmtId="0" fontId="3" fillId="0" borderId="1" xfId="0" applyFont="1" applyBorder="1"/>
    <xf numFmtId="176" fontId="3" fillId="0" borderId="1" xfId="1" applyFont="1" applyBorder="1"/>
    <xf numFmtId="176" fontId="3" fillId="0" borderId="1" xfId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76" fontId="4" fillId="0" borderId="0" xfId="1" applyFont="1"/>
    <xf numFmtId="176" fontId="6" fillId="0" borderId="0" xfId="1" applyFont="1"/>
    <xf numFmtId="49" fontId="7" fillId="0" borderId="0" xfId="51" applyNumberFormat="1" applyFont="1" applyFill="1" applyBorder="1" applyAlignment="1">
      <alignment horizontal="center"/>
    </xf>
    <xf numFmtId="176" fontId="7" fillId="0" borderId="0" xfId="51" applyFont="1" applyFill="1" applyBorder="1" applyAlignment="1">
      <alignment horizontal="center"/>
    </xf>
    <xf numFmtId="49" fontId="8" fillId="0" borderId="0" xfId="53" applyNumberFormat="1" applyFont="1" applyAlignment="1">
      <alignment horizontal="center"/>
    </xf>
    <xf numFmtId="49" fontId="9" fillId="0" borderId="0" xfId="53" applyNumberFormat="1" applyFont="1" applyAlignment="1">
      <alignment horizontal="center"/>
    </xf>
    <xf numFmtId="176" fontId="10" fillId="0" borderId="0" xfId="1" applyFont="1" applyFill="1" applyBorder="1" applyAlignment="1">
      <alignment horizontal="center"/>
    </xf>
    <xf numFmtId="176" fontId="8" fillId="2" borderId="2" xfId="53" applyNumberFormat="1" applyFont="1" applyFill="1" applyBorder="1"/>
    <xf numFmtId="177" fontId="11" fillId="2" borderId="2" xfId="49" applyNumberFormat="1" applyFont="1" applyFill="1" applyBorder="1"/>
    <xf numFmtId="176" fontId="12" fillId="2" borderId="2" xfId="1" applyFont="1" applyFill="1" applyBorder="1" applyAlignment="1">
      <alignment horizontal="center"/>
    </xf>
    <xf numFmtId="0" fontId="13" fillId="0" borderId="0" xfId="52" applyFont="1"/>
    <xf numFmtId="43" fontId="14" fillId="0" borderId="0" xfId="0" applyNumberFormat="1" applyFont="1"/>
    <xf numFmtId="176" fontId="15" fillId="3" borderId="0" xfId="1" applyFont="1" applyFill="1"/>
    <xf numFmtId="43" fontId="6" fillId="0" borderId="0" xfId="0" applyNumberFormat="1" applyFont="1"/>
    <xf numFmtId="176" fontId="7" fillId="0" borderId="2" xfId="50" applyFont="1" applyFill="1" applyBorder="1" applyAlignment="1">
      <alignment vertical="center"/>
    </xf>
    <xf numFmtId="176" fontId="16" fillId="0" borderId="2" xfId="49" applyFont="1" applyFill="1" applyBorder="1"/>
    <xf numFmtId="176" fontId="16" fillId="3" borderId="2" xfId="1" applyFont="1" applyFill="1" applyBorder="1"/>
    <xf numFmtId="176" fontId="0" fillId="0" borderId="0" xfId="1" applyFont="1" applyFill="1" applyBorder="1" applyAlignment="1">
      <alignment vertical="center"/>
    </xf>
    <xf numFmtId="176" fontId="4" fillId="3" borderId="0" xfId="1" applyFont="1" applyFill="1" applyBorder="1" applyAlignment="1">
      <alignment vertical="center"/>
    </xf>
    <xf numFmtId="49" fontId="6" fillId="0" borderId="0" xfId="50" applyNumberFormat="1" applyFont="1" applyFill="1" applyBorder="1" applyAlignment="1">
      <alignment vertical="center"/>
    </xf>
    <xf numFmtId="176" fontId="14" fillId="0" borderId="0" xfId="1" applyFont="1" applyBorder="1"/>
    <xf numFmtId="176" fontId="13" fillId="3" borderId="0" xfId="1" applyFont="1" applyFill="1"/>
    <xf numFmtId="49" fontId="17" fillId="0" borderId="0" xfId="50" applyNumberFormat="1" applyFont="1" applyFill="1" applyBorder="1" applyAlignment="1">
      <alignment vertical="center"/>
    </xf>
    <xf numFmtId="0" fontId="18" fillId="4" borderId="0" xfId="53" applyFont="1" applyFill="1"/>
    <xf numFmtId="0" fontId="19" fillId="0" borderId="0" xfId="53" applyFont="1"/>
    <xf numFmtId="176" fontId="19" fillId="3" borderId="0" xfId="1" applyFont="1" applyFill="1"/>
    <xf numFmtId="0" fontId="18" fillId="0" borderId="0" xfId="53" applyFont="1"/>
    <xf numFmtId="176" fontId="19" fillId="0" borderId="0" xfId="1" applyFont="1" applyFill="1" applyBorder="1"/>
    <xf numFmtId="176" fontId="6" fillId="0" borderId="0" xfId="1" applyFont="1" applyFill="1"/>
    <xf numFmtId="176" fontId="20" fillId="0" borderId="0" xfId="51" applyFont="1" applyFill="1" applyBorder="1" applyAlignment="1">
      <alignment vertical="center"/>
    </xf>
    <xf numFmtId="176" fontId="19" fillId="0" borderId="0" xfId="1" applyFont="1" applyFill="1" applyBorder="1" applyAlignment="1">
      <alignment vertical="center"/>
    </xf>
    <xf numFmtId="176" fontId="17" fillId="0" borderId="0" xfId="1" applyFont="1" applyFill="1" applyBorder="1" applyAlignment="1">
      <alignment vertical="center"/>
    </xf>
    <xf numFmtId="176" fontId="21" fillId="0" borderId="0" xfId="1" applyFont="1" applyFill="1" applyBorder="1" applyAlignment="1">
      <alignment vertical="center"/>
    </xf>
    <xf numFmtId="176" fontId="20" fillId="0" borderId="0" xfId="51" applyFont="1" applyFill="1" applyBorder="1"/>
    <xf numFmtId="176" fontId="21" fillId="0" borderId="0" xfId="1" applyFont="1"/>
    <xf numFmtId="0" fontId="13" fillId="0" borderId="0" xfId="53" applyFont="1"/>
    <xf numFmtId="176" fontId="17" fillId="0" borderId="0" xfId="1" applyFont="1" applyFill="1" applyBorder="1"/>
    <xf numFmtId="176" fontId="22" fillId="0" borderId="3" xfId="50" applyFont="1" applyFill="1" applyBorder="1" applyAlignment="1">
      <alignment vertical="center"/>
    </xf>
    <xf numFmtId="176" fontId="23" fillId="0" borderId="3" xfId="49" applyFont="1" applyFill="1" applyBorder="1"/>
    <xf numFmtId="176" fontId="10" fillId="3" borderId="3" xfId="1" applyFont="1" applyFill="1" applyBorder="1"/>
    <xf numFmtId="0" fontId="17" fillId="0" borderId="0" xfId="0" applyFont="1"/>
    <xf numFmtId="176" fontId="4" fillId="3" borderId="0" xfId="1" applyFont="1" applyFill="1"/>
    <xf numFmtId="176" fontId="24" fillId="0" borderId="0" xfId="49" applyFont="1" applyFill="1" applyBorder="1"/>
    <xf numFmtId="176" fontId="16" fillId="3" borderId="0" xfId="1" applyFont="1" applyFill="1" applyBorder="1"/>
    <xf numFmtId="176" fontId="13" fillId="0" borderId="0" xfId="53" applyNumberFormat="1" applyFont="1"/>
    <xf numFmtId="176" fontId="19" fillId="0" borderId="0" xfId="53" applyNumberFormat="1" applyFont="1"/>
    <xf numFmtId="43" fontId="0" fillId="0" borderId="0" xfId="0" applyNumberFormat="1"/>
    <xf numFmtId="176" fontId="8" fillId="0" borderId="0" xfId="53" applyNumberFormat="1" applyFont="1"/>
    <xf numFmtId="176" fontId="24" fillId="0" borderId="0" xfId="53" applyNumberFormat="1" applyFont="1"/>
    <xf numFmtId="176" fontId="25" fillId="3" borderId="0" xfId="1" applyFont="1" applyFill="1" applyBorder="1"/>
    <xf numFmtId="176" fontId="15" fillId="3" borderId="0" xfId="1" applyFont="1" applyFill="1" applyBorder="1"/>
    <xf numFmtId="176" fontId="26" fillId="2" borderId="2" xfId="53" applyNumberFormat="1" applyFont="1" applyFill="1" applyBorder="1"/>
    <xf numFmtId="176" fontId="11" fillId="2" borderId="2" xfId="49" applyFont="1" applyFill="1" applyBorder="1"/>
    <xf numFmtId="176" fontId="12" fillId="2" borderId="2" xfId="1" applyFont="1" applyFill="1" applyBorder="1"/>
    <xf numFmtId="176" fontId="23" fillId="0" borderId="0" xfId="53" applyNumberFormat="1" applyFont="1"/>
    <xf numFmtId="176" fontId="27" fillId="0" borderId="0" xfId="53" applyNumberFormat="1" applyFont="1"/>
    <xf numFmtId="176" fontId="15" fillId="0" borderId="0" xfId="53" applyNumberFormat="1" applyFont="1"/>
    <xf numFmtId="176" fontId="5" fillId="0" borderId="0" xfId="1" applyFont="1"/>
    <xf numFmtId="43" fontId="27" fillId="0" borderId="0" xfId="53" applyNumberFormat="1" applyFont="1"/>
    <xf numFmtId="176" fontId="25" fillId="0" borderId="3" xfId="53" applyNumberFormat="1" applyFont="1" applyBorder="1"/>
    <xf numFmtId="176" fontId="28" fillId="0" borderId="3" xfId="49" applyFont="1" applyFill="1" applyBorder="1"/>
    <xf numFmtId="176" fontId="16" fillId="3" borderId="3" xfId="1" applyFont="1" applyFill="1" applyBorder="1"/>
    <xf numFmtId="176" fontId="13" fillId="0" borderId="3" xfId="53" applyNumberFormat="1" applyFont="1" applyBorder="1"/>
    <xf numFmtId="176" fontId="29" fillId="0" borderId="3" xfId="49" applyFont="1" applyFill="1" applyBorder="1"/>
    <xf numFmtId="176" fontId="30" fillId="3" borderId="3" xfId="1" applyFont="1" applyFill="1" applyBorder="1"/>
    <xf numFmtId="176" fontId="8" fillId="0" borderId="3" xfId="53" applyNumberFormat="1" applyFont="1" applyBorder="1"/>
    <xf numFmtId="176" fontId="8" fillId="5" borderId="3" xfId="53" applyNumberFormat="1" applyFont="1" applyFill="1" applyBorder="1"/>
    <xf numFmtId="176" fontId="28" fillId="5" borderId="3" xfId="49" applyFont="1" applyFill="1" applyBorder="1"/>
    <xf numFmtId="176" fontId="24" fillId="5" borderId="3" xfId="49" applyFont="1" applyFill="1" applyBorder="1"/>
    <xf numFmtId="176" fontId="16" fillId="5" borderId="3" xfId="1" applyFont="1" applyFill="1" applyBorder="1"/>
    <xf numFmtId="176" fontId="7" fillId="3" borderId="2" xfId="54" applyNumberFormat="1" applyFont="1" applyFill="1" applyBorder="1" applyAlignment="1">
      <alignment vertical="center"/>
    </xf>
    <xf numFmtId="176" fontId="24" fillId="3" borderId="2" xfId="49" applyFont="1" applyFill="1" applyBorder="1" applyAlignment="1">
      <alignment vertical="center"/>
    </xf>
    <xf numFmtId="176" fontId="23" fillId="3" borderId="2" xfId="49" applyFont="1" applyFill="1" applyBorder="1" applyAlignment="1">
      <alignment vertical="center"/>
    </xf>
    <xf numFmtId="176" fontId="25" fillId="3" borderId="2" xfId="1" applyFont="1" applyFill="1" applyBorder="1" applyAlignment="1">
      <alignment vertical="center"/>
    </xf>
    <xf numFmtId="176" fontId="15" fillId="0" borderId="0" xfId="1" applyFont="1" applyFill="1" applyBorder="1"/>
    <xf numFmtId="9" fontId="7" fillId="0" borderId="0" xfId="54" applyFont="1" applyFill="1" applyBorder="1"/>
    <xf numFmtId="176" fontId="31" fillId="0" borderId="0" xfId="1" applyFont="1" applyFill="1" applyBorder="1"/>
    <xf numFmtId="176" fontId="32" fillId="0" borderId="0" xfId="1" applyFont="1" applyFill="1" applyBorder="1"/>
    <xf numFmtId="176" fontId="6" fillId="0" borderId="4" xfId="1" applyFont="1" applyFill="1" applyBorder="1"/>
    <xf numFmtId="176" fontId="0" fillId="0" borderId="0" xfId="1" applyFont="1" applyFill="1"/>
    <xf numFmtId="176" fontId="33" fillId="0" borderId="0" xfId="1" applyFont="1" applyFill="1" applyBorder="1"/>
    <xf numFmtId="43" fontId="6" fillId="0" borderId="3" xfId="0" applyNumberFormat="1" applyFont="1" applyBorder="1"/>
    <xf numFmtId="176" fontId="6" fillId="0" borderId="0" xfId="0" applyNumberFormat="1" applyFont="1"/>
    <xf numFmtId="0" fontId="0" fillId="0" borderId="0" xfId="0" applyFont="1"/>
    <xf numFmtId="176" fontId="4" fillId="5" borderId="0" xfId="1" applyFont="1" applyFill="1"/>
    <xf numFmtId="0" fontId="0" fillId="0" borderId="0" xfId="0" quotePrefix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" xfId="49"/>
    <cellStyle name="Comma 11" xfId="50"/>
    <cellStyle name="Comma 2 10" xfId="51"/>
    <cellStyle name="Normal 10 2" xfId="52"/>
    <cellStyle name="Normal 2" xfId="53"/>
    <cellStyle name="Percent 2 10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ropbox\RK%20SEAFOOD%20TRADING\RK%20DAILY%20REPORT\DAILY%20INCOME%20STATEMENT_JULY%2020-25,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L"/>
      <sheetName val="72026"/>
      <sheetName val="7212026"/>
      <sheetName val="72226"/>
      <sheetName val="72326"/>
      <sheetName val="72426"/>
      <sheetName val="72526"/>
    </sheetNames>
    <sheetDataSet>
      <sheetData sheetId="0"/>
      <sheetData sheetId="1">
        <row r="2">
          <cell r="L2">
            <v>1506.048</v>
          </cell>
        </row>
        <row r="134">
          <cell r="D134">
            <v>606.6576</v>
          </cell>
        </row>
      </sheetData>
      <sheetData sheetId="2">
        <row r="92">
          <cell r="D92">
            <v>199.44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workbookViewId="0">
      <selection activeCell="D15" sqref="D15"/>
    </sheetView>
  </sheetViews>
  <sheetFormatPr defaultColWidth="9.11111111111111" defaultRowHeight="16.8"/>
  <cols>
    <col min="1" max="1" width="42.3333333333333" style="16" customWidth="1"/>
    <col min="2" max="2" width="16.4444444444444" style="16" customWidth="1"/>
    <col min="3" max="3" width="17.6666666666667" style="16" customWidth="1"/>
    <col min="4" max="5" width="14.8888888888889" style="16" customWidth="1"/>
    <col min="6" max="6" width="15.2222222222222" style="16" customWidth="1"/>
    <col min="7" max="7" width="17.5555555555556" style="16" customWidth="1"/>
    <col min="8" max="8" width="19.6666666666667" style="17" customWidth="1"/>
    <col min="9" max="9" width="24.1111111111111" style="18" customWidth="1"/>
    <col min="10" max="10" width="12.8888888888889" style="16" customWidth="1"/>
    <col min="11" max="11" width="12.3333333333333" style="16" customWidth="1"/>
    <col min="12" max="16384" width="9.11111111111111" style="16"/>
  </cols>
  <sheetData>
    <row r="1" spans="1:10">
      <c r="A1" s="19" t="s">
        <v>0</v>
      </c>
      <c r="B1" s="19"/>
      <c r="C1" s="19"/>
      <c r="D1" s="19"/>
      <c r="E1" s="19"/>
      <c r="F1" s="19"/>
      <c r="G1" s="19"/>
      <c r="H1" s="19"/>
    </row>
    <row r="2" spans="1:10">
      <c r="A2" s="20" t="s">
        <v>1</v>
      </c>
      <c r="B2" s="20"/>
      <c r="C2" s="20"/>
      <c r="D2" s="20"/>
      <c r="E2" s="20"/>
      <c r="F2" s="20"/>
      <c r="G2" s="20"/>
      <c r="H2" s="20"/>
    </row>
    <row r="3" spans="1:10">
      <c r="A3" s="21" t="s">
        <v>2</v>
      </c>
      <c r="B3" s="21"/>
      <c r="C3" s="21"/>
      <c r="D3" s="21"/>
      <c r="E3" s="21"/>
      <c r="F3" s="21"/>
      <c r="G3" s="21"/>
      <c r="H3" s="21"/>
    </row>
    <row r="4" spans="1:10">
      <c r="A4" s="21"/>
      <c r="B4" s="22"/>
      <c r="C4" s="22"/>
      <c r="D4" s="22"/>
      <c r="E4" s="22"/>
      <c r="F4" s="22"/>
      <c r="G4" s="22"/>
      <c r="H4" s="23"/>
    </row>
    <row r="5" s="14" customFormat="1" ht="23.25" customHeight="1" spans="1:10">
      <c r="A5" s="24"/>
      <c r="B5" s="25">
        <v>46223</v>
      </c>
      <c r="C5" s="25">
        <v>46224</v>
      </c>
      <c r="D5" s="25">
        <v>46225</v>
      </c>
      <c r="E5" s="25">
        <v>46226</v>
      </c>
      <c r="F5" s="25">
        <v>46227</v>
      </c>
      <c r="G5" s="25">
        <v>46228</v>
      </c>
      <c r="H5" s="26" t="s">
        <v>3</v>
      </c>
      <c r="I5" s="17"/>
    </row>
    <row r="6" ht="31.5" customHeight="1" spans="1:10">
      <c r="A6" s="27" t="s">
        <v>4</v>
      </c>
      <c r="B6" s="28"/>
      <c r="C6" s="28"/>
      <c r="D6" s="28"/>
      <c r="E6" s="28"/>
      <c r="F6" s="28"/>
      <c r="G6" s="28"/>
      <c r="H6" s="29">
        <f>+SUM(B6:G6)</f>
        <v>0</v>
      </c>
      <c r="J6" s="30"/>
    </row>
    <row r="7" ht="34.5" customHeight="1" spans="1:10">
      <c r="A7" s="31" t="s">
        <v>5</v>
      </c>
      <c r="B7" s="32">
        <f t="shared" ref="B7:H7" si="0">+B6</f>
        <v>0</v>
      </c>
      <c r="C7" s="32">
        <f t="shared" si="0"/>
        <v>0</v>
      </c>
      <c r="D7" s="32">
        <f t="shared" si="0"/>
        <v>0</v>
      </c>
      <c r="E7" s="32">
        <f t="shared" si="0"/>
        <v>0</v>
      </c>
      <c r="F7" s="32">
        <f t="shared" si="0"/>
        <v>0</v>
      </c>
      <c r="G7" s="32">
        <f t="shared" si="0"/>
        <v>0</v>
      </c>
      <c r="H7" s="33">
        <f t="shared" si="0"/>
        <v>0</v>
      </c>
      <c r="J7" s="30"/>
    </row>
    <row r="8" ht="17.55" spans="1:10">
      <c r="B8" s="34"/>
      <c r="C8" s="34"/>
      <c r="D8" s="34"/>
      <c r="E8" s="34"/>
      <c r="F8" s="34"/>
      <c r="G8" s="34"/>
      <c r="H8" s="35"/>
      <c r="J8" s="30"/>
    </row>
    <row r="9" spans="1:10">
      <c r="A9" s="36" t="s">
        <v>6</v>
      </c>
      <c r="B9" s="28"/>
      <c r="C9" s="28"/>
      <c r="D9" s="28"/>
      <c r="E9" s="28"/>
      <c r="F9" s="37"/>
      <c r="G9" s="37"/>
      <c r="H9" s="38">
        <f>+SUM(B9:G9)</f>
        <v>0</v>
      </c>
      <c r="J9" s="30"/>
    </row>
    <row r="10" spans="1:10">
      <c r="A10" s="36" t="s">
        <v>7</v>
      </c>
      <c r="B10" s="28"/>
      <c r="C10" s="28"/>
      <c r="D10" s="28"/>
      <c r="E10" s="28"/>
      <c r="F10" s="28"/>
      <c r="G10" s="28"/>
      <c r="H10" s="38">
        <f>+SUM(B10:F10)</f>
        <v>0</v>
      </c>
      <c r="J10" s="30"/>
    </row>
    <row r="11" spans="1:10">
      <c r="A11" s="36"/>
      <c r="B11" s="39"/>
      <c r="C11" s="39"/>
      <c r="D11" s="39"/>
      <c r="E11" s="39"/>
      <c r="F11" s="39"/>
      <c r="G11" s="39"/>
      <c r="H11" s="29"/>
      <c r="J11" s="30"/>
    </row>
    <row r="12" spans="1:10">
      <c r="A12" s="40" t="s">
        <v>8</v>
      </c>
      <c r="B12" s="41"/>
      <c r="C12" s="41"/>
      <c r="D12" s="41"/>
      <c r="E12" s="41"/>
      <c r="F12" s="41"/>
      <c r="G12" s="41"/>
      <c r="H12" s="42">
        <f>+SUM(B12:D12)</f>
        <v>0</v>
      </c>
      <c r="J12" s="30"/>
    </row>
    <row r="13" spans="1:10">
      <c r="A13" s="43" t="s">
        <v>9</v>
      </c>
      <c r="B13" s="44">
        <v>6000</v>
      </c>
      <c r="C13" s="44"/>
      <c r="D13" s="44"/>
      <c r="E13" s="44"/>
      <c r="F13" s="44"/>
      <c r="G13" s="44"/>
      <c r="H13" s="42">
        <f>+SUM(B13:G13)</f>
        <v>6000</v>
      </c>
      <c r="I13" s="45"/>
      <c r="J13" s="30"/>
    </row>
    <row r="14" spans="1:10">
      <c r="A14" s="46" t="s">
        <v>10</v>
      </c>
      <c r="B14" s="47">
        <v>2350</v>
      </c>
      <c r="C14" s="47"/>
      <c r="D14" s="47"/>
      <c r="E14" s="47"/>
      <c r="F14" s="47"/>
      <c r="G14" s="47"/>
      <c r="H14" s="42">
        <f t="shared" ref="H14:H18" si="1">+SUM(B14:G14)</f>
        <v>2350</v>
      </c>
      <c r="J14" s="30"/>
    </row>
    <row r="15" spans="1:10">
      <c r="A15" s="46" t="s">
        <v>11</v>
      </c>
      <c r="B15" s="48">
        <v>7130</v>
      </c>
      <c r="C15" s="48"/>
      <c r="D15" s="48"/>
      <c r="E15" s="48"/>
      <c r="F15" s="48"/>
      <c r="G15" s="48"/>
      <c r="H15" s="42">
        <f t="shared" si="1"/>
        <v>7130</v>
      </c>
      <c r="J15" s="30"/>
    </row>
    <row r="16" spans="1:10">
      <c r="A16" s="46" t="s">
        <v>12</v>
      </c>
      <c r="B16" s="49">
        <v>0</v>
      </c>
      <c r="C16" s="49"/>
      <c r="D16" s="49"/>
      <c r="E16" s="49"/>
      <c r="F16" s="49"/>
      <c r="G16" s="49"/>
      <c r="H16" s="42">
        <f t="shared" si="1"/>
        <v>0</v>
      </c>
      <c r="J16" s="30"/>
    </row>
    <row r="17" spans="1:10">
      <c r="A17" s="50" t="s">
        <v>13</v>
      </c>
      <c r="B17" s="51">
        <v>50</v>
      </c>
      <c r="C17" s="51"/>
      <c r="D17" s="51"/>
      <c r="E17" s="51"/>
      <c r="F17" s="51"/>
      <c r="G17" s="51"/>
      <c r="H17" s="42">
        <f t="shared" si="1"/>
        <v>50</v>
      </c>
      <c r="I17" s="16"/>
      <c r="J17" s="30"/>
    </row>
    <row r="18" spans="1:10">
      <c r="A18" s="52" t="s">
        <v>14</v>
      </c>
      <c r="B18" s="44">
        <v>0</v>
      </c>
      <c r="C18" s="44"/>
      <c r="D18" s="44"/>
      <c r="E18" s="44"/>
      <c r="F18" s="44"/>
      <c r="G18" s="44"/>
      <c r="H18" s="42">
        <f t="shared" si="1"/>
        <v>0</v>
      </c>
      <c r="I18" s="16"/>
      <c r="J18" s="30"/>
    </row>
    <row r="19" spans="1:10">
      <c r="A19" s="50" t="s">
        <v>15</v>
      </c>
      <c r="B19" s="53"/>
      <c r="C19" s="53"/>
      <c r="D19" s="53"/>
      <c r="E19" s="53"/>
      <c r="F19" s="53"/>
      <c r="G19" s="53"/>
      <c r="H19" s="29">
        <f>SUM(B19:B19)</f>
        <v>0</v>
      </c>
      <c r="I19" s="16"/>
      <c r="J19" s="30"/>
    </row>
    <row r="20" spans="1:10">
      <c r="A20" s="50" t="s">
        <v>16</v>
      </c>
      <c r="B20" s="53"/>
      <c r="C20" s="53"/>
      <c r="D20" s="53"/>
      <c r="E20" s="53"/>
      <c r="F20" s="53"/>
      <c r="G20" s="53"/>
      <c r="H20" s="29">
        <f>SUM(B20:B20)</f>
        <v>0</v>
      </c>
      <c r="I20" s="16"/>
      <c r="J20" s="30"/>
    </row>
    <row r="21" spans="1:10">
      <c r="A21" s="52" t="s">
        <v>17</v>
      </c>
      <c r="B21" s="41"/>
      <c r="C21" s="41"/>
      <c r="D21" s="41"/>
      <c r="E21" s="41"/>
      <c r="F21" s="41"/>
      <c r="G21" s="41"/>
      <c r="H21" s="29">
        <f>SUM(B21:B21)</f>
        <v>0</v>
      </c>
      <c r="I21" s="16"/>
      <c r="J21" s="30"/>
    </row>
    <row r="22" ht="24.75" customHeight="1" spans="1:10">
      <c r="A22" s="54" t="s">
        <v>18</v>
      </c>
      <c r="B22" s="55">
        <f>+SUM(B8:B21)</f>
        <v>15530</v>
      </c>
      <c r="C22" s="55">
        <f t="shared" ref="C22:H22" si="2">+SUM(C8:C21)</f>
        <v>0</v>
      </c>
      <c r="D22" s="55">
        <f t="shared" si="2"/>
        <v>0</v>
      </c>
      <c r="E22" s="55">
        <f t="shared" si="2"/>
        <v>0</v>
      </c>
      <c r="F22" s="55">
        <f t="shared" si="2"/>
        <v>0</v>
      </c>
      <c r="G22" s="55">
        <f t="shared" si="2"/>
        <v>0</v>
      </c>
      <c r="H22" s="56">
        <f t="shared" si="2"/>
        <v>15530</v>
      </c>
      <c r="I22" s="16"/>
      <c r="J22" s="30"/>
    </row>
    <row r="23" spans="1:10">
      <c r="B23" s="57"/>
      <c r="C23" s="57"/>
      <c r="D23" s="57"/>
      <c r="E23" s="57"/>
      <c r="F23" s="57"/>
      <c r="G23" s="57"/>
      <c r="H23" s="58"/>
      <c r="I23" s="16"/>
      <c r="J23" s="30"/>
    </row>
    <row r="24" spans="1:10">
      <c r="A24" s="52" t="s">
        <v>19</v>
      </c>
      <c r="B24" s="59">
        <f t="shared" ref="B24:H24" si="3">+B7-B22</f>
        <v>-15530</v>
      </c>
      <c r="C24" s="59">
        <f t="shared" si="3"/>
        <v>0</v>
      </c>
      <c r="D24" s="59">
        <f t="shared" si="3"/>
        <v>0</v>
      </c>
      <c r="E24" s="59">
        <f t="shared" si="3"/>
        <v>0</v>
      </c>
      <c r="F24" s="59">
        <f t="shared" si="3"/>
        <v>0</v>
      </c>
      <c r="G24" s="59">
        <f t="shared" si="3"/>
        <v>0</v>
      </c>
      <c r="H24" s="60">
        <f t="shared" si="3"/>
        <v>-15530</v>
      </c>
      <c r="I24" s="16"/>
      <c r="J24" s="30"/>
    </row>
    <row r="25" spans="1:10">
      <c r="A25" s="61" t="s">
        <v>20</v>
      </c>
      <c r="B25" s="62">
        <f>+'[1]72026'!D134</f>
        <v>606.6576</v>
      </c>
      <c r="C25" s="63">
        <f>+'[1]7212026'!D92</f>
        <v>199.44</v>
      </c>
      <c r="D25" s="63"/>
      <c r="E25" s="63"/>
      <c r="F25" s="62"/>
      <c r="G25" s="62"/>
      <c r="H25" s="60">
        <f>+SUM(B25:E25)</f>
        <v>806.0976</v>
      </c>
      <c r="I25" s="16"/>
      <c r="J25" s="30"/>
    </row>
    <row r="26" spans="1:10">
      <c r="A26" s="64"/>
      <c r="B26" s="65"/>
      <c r="C26" s="65"/>
      <c r="D26" s="65"/>
      <c r="E26" s="65"/>
      <c r="F26" s="65"/>
      <c r="G26" s="65"/>
      <c r="H26" s="66"/>
      <c r="I26" s="16"/>
      <c r="J26" s="30"/>
    </row>
    <row r="27" spans="1:10">
      <c r="A27" s="61"/>
      <c r="B27" s="62"/>
      <c r="C27" s="62"/>
      <c r="D27" s="62"/>
      <c r="E27" s="62"/>
      <c r="F27" s="62"/>
      <c r="G27" s="62"/>
      <c r="H27" s="67"/>
      <c r="I27" s="16"/>
      <c r="J27" s="30"/>
    </row>
    <row r="28" ht="18.75" customHeight="1" spans="1:10">
      <c r="A28" s="68" t="s">
        <v>21</v>
      </c>
      <c r="B28" s="69">
        <f t="shared" ref="B28:H28" si="4">+B24-B25-B26</f>
        <v>-16136.6576</v>
      </c>
      <c r="C28" s="69">
        <f t="shared" si="4"/>
        <v>-199.44</v>
      </c>
      <c r="D28" s="69">
        <f t="shared" si="4"/>
        <v>0</v>
      </c>
      <c r="E28" s="69">
        <f t="shared" si="4"/>
        <v>0</v>
      </c>
      <c r="F28" s="69">
        <f t="shared" si="4"/>
        <v>0</v>
      </c>
      <c r="G28" s="69">
        <f t="shared" si="4"/>
        <v>0</v>
      </c>
      <c r="H28" s="70">
        <f t="shared" si="4"/>
        <v>-16336.0976</v>
      </c>
      <c r="I28" s="16"/>
      <c r="J28" s="30"/>
    </row>
    <row r="29" ht="17.55" spans="1:10">
      <c r="A29" s="61"/>
      <c r="B29" s="62"/>
      <c r="C29" s="62"/>
      <c r="D29" s="62"/>
      <c r="E29" s="62"/>
      <c r="F29" s="62"/>
      <c r="G29" s="62"/>
      <c r="H29" s="67"/>
      <c r="I29" s="16"/>
      <c r="J29" s="30"/>
    </row>
    <row r="30" spans="1:10">
      <c r="A30" s="64" t="s">
        <v>22</v>
      </c>
      <c r="B30" s="71"/>
      <c r="C30" s="71"/>
      <c r="D30" s="71"/>
      <c r="E30" s="71"/>
      <c r="F30" s="71"/>
      <c r="G30" s="71"/>
      <c r="H30" s="66"/>
      <c r="I30" s="16"/>
      <c r="J30" s="30"/>
    </row>
    <row r="31" spans="1:10">
      <c r="A31" s="61" t="s">
        <v>23</v>
      </c>
      <c r="B31" s="72"/>
      <c r="C31" s="72"/>
      <c r="D31" s="72"/>
      <c r="E31" s="72"/>
      <c r="F31" s="72"/>
      <c r="G31" s="72"/>
      <c r="H31" s="67">
        <f>SUM(B31:B31)</f>
        <v>0</v>
      </c>
      <c r="I31" s="16"/>
      <c r="J31" s="30"/>
    </row>
    <row r="32" spans="1:10">
      <c r="A32" s="61" t="s">
        <v>24</v>
      </c>
      <c r="B32" s="72"/>
      <c r="C32" s="72"/>
      <c r="D32" s="72"/>
      <c r="E32" s="72"/>
      <c r="F32" s="72"/>
      <c r="G32" s="72"/>
      <c r="H32" s="67">
        <f>SUM(B32:B32)</f>
        <v>0</v>
      </c>
      <c r="I32" s="16"/>
      <c r="J32" s="30"/>
    </row>
    <row r="33" spans="1:10">
      <c r="A33" s="61" t="s">
        <v>25</v>
      </c>
      <c r="B33" s="62"/>
      <c r="C33" s="62"/>
      <c r="D33" s="62"/>
      <c r="E33" s="62"/>
      <c r="F33" s="62"/>
      <c r="G33" s="62"/>
      <c r="H33" s="67">
        <f>SUM(B33:B33)</f>
        <v>0</v>
      </c>
      <c r="J33" s="30"/>
    </row>
    <row r="34" spans="1:10">
      <c r="A34" s="73" t="s">
        <v>26</v>
      </c>
      <c r="B34" s="62">
        <f>+'[1]72026'!L2</f>
        <v>1506.048</v>
      </c>
      <c r="C34" s="62"/>
      <c r="D34" s="62"/>
      <c r="E34" s="62"/>
      <c r="F34" s="62"/>
      <c r="G34" s="62"/>
      <c r="H34" s="67">
        <f>+SUM(B34:G34)</f>
        <v>1506.048</v>
      </c>
      <c r="J34" s="30"/>
    </row>
    <row r="35" spans="1:10">
      <c r="A35" s="73" t="s">
        <v>27</v>
      </c>
      <c r="B35" s="62">
        <v>0</v>
      </c>
      <c r="C35" s="62"/>
      <c r="D35" s="62"/>
      <c r="E35" s="62"/>
      <c r="F35" s="62"/>
      <c r="G35" s="62"/>
      <c r="H35" s="67">
        <f t="shared" ref="H35:H52" si="5">+SUM(B35:G35)</f>
        <v>0</v>
      </c>
      <c r="J35" s="30"/>
    </row>
    <row r="36" s="15" customFormat="1" spans="1:10">
      <c r="A36" s="73" t="s">
        <v>28</v>
      </c>
      <c r="B36" s="62"/>
      <c r="C36" s="62"/>
      <c r="D36" s="62"/>
      <c r="E36" s="62"/>
      <c r="F36" s="62"/>
      <c r="G36" s="62"/>
      <c r="H36" s="67">
        <f t="shared" si="5"/>
        <v>0</v>
      </c>
      <c r="I36" s="74"/>
      <c r="J36" s="30"/>
    </row>
    <row r="37" spans="1:10">
      <c r="A37" s="73" t="s">
        <v>29</v>
      </c>
      <c r="B37" s="62"/>
      <c r="C37" s="62"/>
      <c r="D37" s="62"/>
      <c r="E37" s="62"/>
      <c r="F37" s="62"/>
      <c r="G37" s="62"/>
      <c r="H37" s="67">
        <f t="shared" si="5"/>
        <v>0</v>
      </c>
      <c r="J37" s="30"/>
    </row>
    <row r="38" spans="1:10">
      <c r="A38" s="73" t="s">
        <v>30</v>
      </c>
      <c r="B38" s="62">
        <v>0</v>
      </c>
      <c r="C38" s="62"/>
      <c r="D38" s="62"/>
      <c r="E38" s="62"/>
      <c r="F38" s="62"/>
      <c r="G38" s="62"/>
      <c r="H38" s="67">
        <f t="shared" si="5"/>
        <v>0</v>
      </c>
      <c r="J38" s="30"/>
    </row>
    <row r="39" spans="1:10">
      <c r="A39" s="73" t="s">
        <v>31</v>
      </c>
      <c r="B39" s="62">
        <v>1000</v>
      </c>
      <c r="C39" s="62"/>
      <c r="D39" s="62"/>
      <c r="E39" s="62"/>
      <c r="F39" s="62"/>
      <c r="G39" s="62"/>
      <c r="H39" s="67">
        <f t="shared" si="5"/>
        <v>1000</v>
      </c>
      <c r="J39" s="30"/>
    </row>
    <row r="40" spans="1:10">
      <c r="A40" s="73" t="s">
        <v>32</v>
      </c>
      <c r="B40" s="62">
        <v>192.31</v>
      </c>
      <c r="C40" s="62"/>
      <c r="D40" s="62"/>
      <c r="E40" s="62"/>
      <c r="F40" s="62"/>
      <c r="G40" s="62"/>
      <c r="H40" s="67">
        <f t="shared" si="5"/>
        <v>192.31</v>
      </c>
      <c r="J40" s="30"/>
    </row>
    <row r="41" spans="1:10">
      <c r="A41" s="73" t="s">
        <v>33</v>
      </c>
      <c r="B41" s="62">
        <v>0</v>
      </c>
      <c r="C41" s="62"/>
      <c r="D41" s="62"/>
      <c r="E41" s="62"/>
      <c r="F41" s="62"/>
      <c r="G41" s="62"/>
      <c r="H41" s="67">
        <f t="shared" si="5"/>
        <v>0</v>
      </c>
      <c r="J41" s="30"/>
    </row>
    <row r="42" spans="1:10">
      <c r="A42" s="73" t="s">
        <v>34</v>
      </c>
      <c r="B42" s="62"/>
      <c r="C42" s="62"/>
      <c r="D42" s="62"/>
      <c r="E42" s="62"/>
      <c r="F42" s="62"/>
      <c r="G42" s="62"/>
      <c r="H42" s="67">
        <f t="shared" si="5"/>
        <v>0</v>
      </c>
      <c r="J42" s="30"/>
    </row>
    <row r="43" spans="1:10">
      <c r="A43" s="73" t="s">
        <v>35</v>
      </c>
      <c r="B43" s="62">
        <v>115.38</v>
      </c>
      <c r="C43" s="62"/>
      <c r="D43" s="62"/>
      <c r="E43" s="62"/>
      <c r="F43" s="62"/>
      <c r="G43" s="62"/>
      <c r="H43" s="67">
        <f t="shared" si="5"/>
        <v>115.38</v>
      </c>
      <c r="J43" s="30"/>
    </row>
    <row r="44" spans="1:10">
      <c r="A44" s="73" t="s">
        <v>36</v>
      </c>
      <c r="B44" s="62"/>
      <c r="C44" s="62"/>
      <c r="D44" s="62"/>
      <c r="E44" s="62"/>
      <c r="F44" s="62"/>
      <c r="G44" s="62"/>
      <c r="H44" s="67">
        <f t="shared" si="5"/>
        <v>0</v>
      </c>
      <c r="J44" s="30"/>
    </row>
    <row r="45" spans="1:10">
      <c r="A45" s="73" t="s">
        <v>37</v>
      </c>
      <c r="B45" s="62"/>
      <c r="C45" s="62"/>
      <c r="D45" s="62"/>
      <c r="E45" s="62"/>
      <c r="F45" s="62"/>
      <c r="G45" s="62"/>
      <c r="H45" s="67">
        <f t="shared" si="5"/>
        <v>0</v>
      </c>
      <c r="J45" s="30"/>
    </row>
    <row r="46" spans="1:10">
      <c r="A46" s="73" t="s">
        <v>38</v>
      </c>
      <c r="B46" s="62"/>
      <c r="C46" s="62"/>
      <c r="D46" s="62"/>
      <c r="E46" s="62"/>
      <c r="F46" s="62"/>
      <c r="G46" s="62"/>
      <c r="H46" s="67">
        <f t="shared" si="5"/>
        <v>0</v>
      </c>
      <c r="J46" s="30"/>
    </row>
    <row r="47" spans="1:10">
      <c r="A47" s="73" t="s">
        <v>39</v>
      </c>
      <c r="B47" s="62">
        <v>65</v>
      </c>
      <c r="C47" s="62"/>
      <c r="D47" s="62"/>
      <c r="E47" s="62"/>
      <c r="F47" s="62"/>
      <c r="G47" s="62"/>
      <c r="H47" s="67">
        <f t="shared" si="5"/>
        <v>65</v>
      </c>
      <c r="J47" s="30"/>
    </row>
    <row r="48" spans="1:10">
      <c r="A48" s="73" t="s">
        <v>40</v>
      </c>
      <c r="B48" s="62">
        <v>384.62</v>
      </c>
      <c r="C48" s="62"/>
      <c r="D48" s="62"/>
      <c r="E48" s="62"/>
      <c r="F48" s="62"/>
      <c r="G48" s="62"/>
      <c r="H48" s="67">
        <f t="shared" si="5"/>
        <v>384.62</v>
      </c>
      <c r="J48" s="30"/>
    </row>
    <row r="49" spans="1:10">
      <c r="A49" s="73" t="s">
        <v>41</v>
      </c>
      <c r="B49" s="62">
        <v>9246.15</v>
      </c>
      <c r="C49" s="62"/>
      <c r="D49" s="62"/>
      <c r="E49" s="62"/>
      <c r="F49" s="62"/>
      <c r="G49" s="62"/>
      <c r="H49" s="67">
        <f t="shared" si="5"/>
        <v>9246.15</v>
      </c>
      <c r="J49" s="30"/>
    </row>
    <row r="50" spans="1:10">
      <c r="A50" s="73" t="s">
        <v>42</v>
      </c>
      <c r="B50" s="62"/>
      <c r="C50" s="62"/>
      <c r="D50" s="62"/>
      <c r="E50" s="62"/>
      <c r="F50" s="62"/>
      <c r="G50" s="62"/>
      <c r="H50" s="67">
        <f t="shared" si="5"/>
        <v>0</v>
      </c>
      <c r="J50" s="30"/>
    </row>
    <row r="51" spans="1:10">
      <c r="A51" s="73" t="s">
        <v>43</v>
      </c>
      <c r="B51" s="62"/>
      <c r="C51" s="62"/>
      <c r="D51" s="62"/>
      <c r="E51" s="62"/>
      <c r="F51" s="62"/>
      <c r="G51" s="62"/>
      <c r="H51" s="67">
        <f t="shared" si="5"/>
        <v>0</v>
      </c>
      <c r="J51" s="30"/>
    </row>
    <row r="52" spans="1:10">
      <c r="A52" s="52" t="s">
        <v>44</v>
      </c>
      <c r="B52" s="75">
        <v>1000</v>
      </c>
      <c r="C52" s="75"/>
      <c r="D52" s="75"/>
      <c r="E52" s="75"/>
      <c r="F52" s="75"/>
      <c r="G52" s="75"/>
      <c r="H52" s="67">
        <f t="shared" si="5"/>
        <v>1000</v>
      </c>
      <c r="J52" s="30"/>
    </row>
    <row r="53" spans="1:10">
      <c r="A53" s="76" t="s">
        <v>45</v>
      </c>
      <c r="B53" s="77">
        <f>+SUM(B30:B52)</f>
        <v>13509.508</v>
      </c>
      <c r="C53" s="77">
        <f t="shared" ref="C53:H53" si="6">+SUM(C30:C52)</f>
        <v>0</v>
      </c>
      <c r="D53" s="77">
        <f t="shared" si="6"/>
        <v>0</v>
      </c>
      <c r="E53" s="77">
        <f t="shared" si="6"/>
        <v>0</v>
      </c>
      <c r="F53" s="77">
        <f t="shared" si="6"/>
        <v>0</v>
      </c>
      <c r="G53" s="77">
        <f t="shared" si="6"/>
        <v>0</v>
      </c>
      <c r="H53" s="78">
        <f t="shared" si="6"/>
        <v>13509.508</v>
      </c>
      <c r="J53" s="30"/>
    </row>
    <row r="54" spans="1:10">
      <c r="A54" s="61"/>
      <c r="B54" s="62"/>
      <c r="C54" s="62"/>
      <c r="D54" s="62"/>
      <c r="E54" s="62"/>
      <c r="F54" s="62"/>
      <c r="G54" s="62"/>
      <c r="H54" s="67"/>
      <c r="J54" s="30"/>
    </row>
    <row r="55" spans="1:10">
      <c r="A55" s="79" t="s">
        <v>46</v>
      </c>
      <c r="B55" s="80">
        <f>+B24-B53-B25-B26</f>
        <v>-29646.1656</v>
      </c>
      <c r="C55" s="80">
        <f t="shared" ref="C55:H55" si="7">+C24-C53-C25-C26</f>
        <v>-199.44</v>
      </c>
      <c r="D55" s="80">
        <f t="shared" si="7"/>
        <v>0</v>
      </c>
      <c r="E55" s="80">
        <f t="shared" si="7"/>
        <v>0</v>
      </c>
      <c r="F55" s="80">
        <f t="shared" si="7"/>
        <v>0</v>
      </c>
      <c r="G55" s="80">
        <f t="shared" si="7"/>
        <v>0</v>
      </c>
      <c r="H55" s="81">
        <f t="shared" si="7"/>
        <v>-29845.6056</v>
      </c>
      <c r="J55" s="30"/>
    </row>
    <row r="56" spans="1:10">
      <c r="A56" s="61"/>
      <c r="B56" s="62"/>
      <c r="C56" s="62"/>
      <c r="D56" s="62"/>
      <c r="E56" s="62"/>
      <c r="F56" s="62"/>
      <c r="G56" s="62"/>
      <c r="H56" s="67"/>
      <c r="J56" s="30"/>
    </row>
    <row r="57" spans="1:10">
      <c r="A57" s="61" t="s">
        <v>47</v>
      </c>
      <c r="B57" s="62"/>
      <c r="C57" s="62"/>
      <c r="D57" s="62"/>
      <c r="E57" s="62"/>
      <c r="F57" s="62"/>
      <c r="G57" s="62"/>
      <c r="H57" s="67"/>
      <c r="J57" s="30"/>
    </row>
    <row r="58" spans="1:10">
      <c r="A58" s="61" t="s">
        <v>48</v>
      </c>
      <c r="B58" s="62"/>
      <c r="C58" s="62"/>
      <c r="D58" s="62"/>
      <c r="E58" s="62"/>
      <c r="F58" s="62"/>
      <c r="G58" s="62"/>
      <c r="H58" s="67"/>
      <c r="J58" s="30"/>
    </row>
    <row r="59" spans="1:10">
      <c r="A59" s="61" t="s">
        <v>49</v>
      </c>
      <c r="B59" s="62"/>
      <c r="C59" s="62"/>
      <c r="D59" s="62"/>
      <c r="E59" s="62"/>
      <c r="F59" s="62"/>
      <c r="G59" s="62"/>
      <c r="H59" s="67"/>
      <c r="J59" s="30"/>
    </row>
    <row r="60" spans="1:10">
      <c r="A60" s="61" t="s">
        <v>47</v>
      </c>
      <c r="B60" s="62"/>
      <c r="C60" s="62"/>
      <c r="D60" s="62"/>
      <c r="E60" s="62"/>
      <c r="F60" s="62"/>
      <c r="G60" s="62"/>
      <c r="H60" s="67"/>
      <c r="J60" s="30"/>
    </row>
    <row r="61" spans="1:10">
      <c r="A61" s="82" t="s">
        <v>50</v>
      </c>
      <c r="B61" s="77">
        <v>0</v>
      </c>
      <c r="C61" s="77"/>
      <c r="D61" s="77"/>
      <c r="E61" s="77"/>
      <c r="F61" s="77"/>
      <c r="G61" s="77"/>
      <c r="H61" s="78">
        <v>0</v>
      </c>
      <c r="J61" s="30"/>
    </row>
    <row r="62" spans="1:10">
      <c r="A62" s="61"/>
      <c r="B62" s="62"/>
      <c r="C62" s="62"/>
      <c r="D62" s="62"/>
      <c r="E62" s="62"/>
      <c r="F62" s="62"/>
      <c r="G62" s="62"/>
      <c r="H62" s="67"/>
      <c r="J62" s="30"/>
    </row>
    <row r="63" spans="1:10">
      <c r="A63" s="61" t="s">
        <v>51</v>
      </c>
      <c r="B63" s="62"/>
      <c r="C63" s="62"/>
      <c r="D63" s="62"/>
      <c r="E63" s="62"/>
      <c r="F63" s="62"/>
      <c r="G63" s="62"/>
      <c r="H63" s="67"/>
      <c r="J63" s="30"/>
    </row>
    <row r="64" spans="1:10">
      <c r="A64" s="61" t="s">
        <v>52</v>
      </c>
      <c r="B64" s="62"/>
      <c r="C64" s="62"/>
      <c r="D64" s="62"/>
      <c r="E64" s="62"/>
      <c r="F64" s="62"/>
      <c r="G64" s="62"/>
      <c r="H64" s="67"/>
      <c r="J64" s="30"/>
    </row>
    <row r="65" spans="1:11">
      <c r="A65" s="61" t="s">
        <v>51</v>
      </c>
      <c r="B65" s="62"/>
      <c r="C65" s="62"/>
      <c r="D65" s="62"/>
      <c r="E65" s="62"/>
      <c r="F65" s="62"/>
      <c r="G65" s="62"/>
      <c r="H65" s="67"/>
      <c r="J65" s="30"/>
    </row>
    <row r="66" spans="1:11">
      <c r="A66" s="61" t="s">
        <v>53</v>
      </c>
      <c r="B66" s="62"/>
      <c r="C66" s="62"/>
      <c r="D66" s="62"/>
      <c r="E66" s="62"/>
      <c r="F66" s="62"/>
      <c r="G66" s="62"/>
      <c r="H66" s="67"/>
      <c r="J66" s="30"/>
    </row>
    <row r="67" spans="1:11">
      <c r="A67" s="61"/>
      <c r="B67" s="62"/>
      <c r="C67" s="62"/>
      <c r="D67" s="62"/>
      <c r="E67" s="62"/>
      <c r="F67" s="62"/>
      <c r="G67" s="62"/>
      <c r="H67" s="67"/>
      <c r="J67" s="30"/>
    </row>
    <row r="68" spans="1:11">
      <c r="A68" s="83" t="s">
        <v>54</v>
      </c>
      <c r="B68" s="84">
        <f t="shared" ref="B68:H68" si="8">+B55</f>
        <v>-29646.1656</v>
      </c>
      <c r="C68" s="85">
        <f t="shared" si="8"/>
        <v>-199.44</v>
      </c>
      <c r="D68" s="84">
        <f t="shared" si="8"/>
        <v>0</v>
      </c>
      <c r="E68" s="84">
        <f t="shared" si="8"/>
        <v>0</v>
      </c>
      <c r="F68" s="84">
        <f t="shared" si="8"/>
        <v>0</v>
      </c>
      <c r="G68" s="84">
        <f t="shared" si="8"/>
        <v>0</v>
      </c>
      <c r="H68" s="86">
        <f t="shared" si="8"/>
        <v>-29845.6056</v>
      </c>
      <c r="J68" s="30"/>
    </row>
    <row r="69" spans="1:11">
      <c r="A69" s="61"/>
      <c r="B69" s="62"/>
      <c r="C69" s="62"/>
      <c r="D69" s="62"/>
      <c r="E69" s="62"/>
      <c r="F69" s="62"/>
      <c r="G69" s="62"/>
      <c r="H69" s="67"/>
      <c r="J69" s="30"/>
    </row>
    <row r="70" ht="35.25" customHeight="1" spans="1:11">
      <c r="A70" s="87" t="s">
        <v>55</v>
      </c>
      <c r="B70" s="88">
        <f t="shared" ref="B70:H70" si="9">+B68</f>
        <v>-29646.1656</v>
      </c>
      <c r="C70" s="88">
        <f t="shared" si="9"/>
        <v>-199.44</v>
      </c>
      <c r="D70" s="89">
        <f t="shared" si="9"/>
        <v>0</v>
      </c>
      <c r="E70" s="89">
        <f t="shared" si="9"/>
        <v>0</v>
      </c>
      <c r="F70" s="88">
        <f t="shared" si="9"/>
        <v>0</v>
      </c>
      <c r="G70" s="88">
        <f t="shared" si="9"/>
        <v>0</v>
      </c>
      <c r="H70" s="90">
        <f t="shared" si="9"/>
        <v>-29845.6056</v>
      </c>
      <c r="J70" s="30"/>
    </row>
    <row r="71" ht="17.55" spans="1:11">
      <c r="A71" s="61"/>
      <c r="B71" s="62"/>
      <c r="C71" s="62"/>
      <c r="D71" s="62"/>
      <c r="E71" s="62"/>
      <c r="F71" s="62"/>
      <c r="G71" s="62"/>
      <c r="H71" s="91"/>
      <c r="J71" s="30"/>
    </row>
    <row r="72" spans="1:11">
      <c r="A72" s="92"/>
      <c r="B72" s="93"/>
      <c r="C72" s="93"/>
      <c r="D72" s="93"/>
      <c r="E72" s="93"/>
      <c r="F72" s="93"/>
      <c r="G72" s="93"/>
      <c r="H72" s="94"/>
      <c r="J72" s="30"/>
    </row>
    <row r="73" ht="24" customHeight="1" spans="1:11">
      <c r="A73" s="95" t="s">
        <v>56</v>
      </c>
      <c r="B73" s="96">
        <f t="shared" ref="B73:H73" si="10">+B70*40%</f>
        <v>-11858.46624</v>
      </c>
      <c r="C73" s="96">
        <f t="shared" si="10"/>
        <v>-79.776</v>
      </c>
      <c r="D73" s="96">
        <f t="shared" si="10"/>
        <v>0</v>
      </c>
      <c r="E73" s="96">
        <f t="shared" si="10"/>
        <v>0</v>
      </c>
      <c r="F73" s="96">
        <f t="shared" si="10"/>
        <v>0</v>
      </c>
      <c r="G73" s="96">
        <f t="shared" si="10"/>
        <v>0</v>
      </c>
      <c r="H73" s="97">
        <f t="shared" si="10"/>
        <v>-11938.24224</v>
      </c>
      <c r="I73" s="45"/>
      <c r="J73" s="30"/>
    </row>
    <row r="74" ht="24" customHeight="1" spans="1:11">
      <c r="A74" s="95" t="s">
        <v>57</v>
      </c>
      <c r="B74" s="96"/>
      <c r="C74" s="96"/>
      <c r="D74" s="96"/>
      <c r="E74" s="96"/>
      <c r="F74" s="96"/>
      <c r="G74" s="96"/>
      <c r="H74" s="97">
        <f t="shared" ref="H74" si="11">+H71*40%</f>
        <v>0</v>
      </c>
      <c r="I74" s="45"/>
      <c r="J74" s="30"/>
    </row>
    <row r="75" ht="28.5" customHeight="1" spans="1:11">
      <c r="A75" s="98" t="s">
        <v>58</v>
      </c>
      <c r="B75" s="96">
        <f t="shared" ref="B75:H75" si="12">+B70*60%</f>
        <v>-17787.69936</v>
      </c>
      <c r="C75" s="96">
        <f t="shared" si="12"/>
        <v>-119.664</v>
      </c>
      <c r="D75" s="96">
        <f t="shared" si="12"/>
        <v>0</v>
      </c>
      <c r="E75" s="96">
        <f t="shared" si="12"/>
        <v>0</v>
      </c>
      <c r="F75" s="96">
        <f t="shared" si="12"/>
        <v>0</v>
      </c>
      <c r="G75" s="96">
        <f t="shared" si="12"/>
        <v>0</v>
      </c>
      <c r="H75" s="97">
        <f t="shared" ref="H75" si="13">+H72*40%</f>
        <v>0</v>
      </c>
      <c r="I75" s="45"/>
      <c r="J75" s="30"/>
      <c r="K75" s="99"/>
    </row>
    <row r="76" spans="1:11">
      <c r="B76" s="100"/>
      <c r="C76" s="100"/>
      <c r="D76" s="100"/>
      <c r="E76" s="100"/>
      <c r="F76" s="100"/>
      <c r="G76" s="100"/>
      <c r="H76" s="101">
        <f>+H75+H73-H70</f>
        <v>17907.36336</v>
      </c>
      <c r="I76" s="45"/>
      <c r="J76" s="30"/>
    </row>
    <row r="77" spans="1:11">
      <c r="B77" s="18"/>
      <c r="C77" s="18"/>
      <c r="D77" s="18"/>
      <c r="E77" s="18"/>
      <c r="J77" s="30"/>
    </row>
    <row r="78" spans="1:11">
      <c r="F78" s="30"/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topLeftCell="A4" workbookViewId="0">
      <selection activeCell="H19" sqref="H19"/>
    </sheetView>
  </sheetViews>
  <sheetFormatPr defaultColWidth="8.88888888888889" defaultRowHeight="14.4"/>
  <cols>
    <col min="1" max="1" width="19.6666666666667" customWidth="1"/>
    <col min="2" max="2" width="12.7777777777778" style="2" customWidth="1"/>
    <col min="6" max="6" width="12.2222222222222" customWidth="1"/>
    <col min="13" max="13" width="20" customWidth="1"/>
    <col min="14" max="14" width="13"/>
    <col min="15" max="15" width="11.8888888888889" style="2"/>
    <col min="16" max="16" width="14.1111111111111" style="2"/>
  </cols>
  <sheetData>
    <row r="1" spans="1:17">
      <c r="A1" s="8" t="s">
        <v>59</v>
      </c>
      <c r="B1" s="9"/>
      <c r="C1" s="8" t="s">
        <v>60</v>
      </c>
      <c r="F1" s="8" t="s">
        <v>61</v>
      </c>
      <c r="G1" s="10"/>
      <c r="H1" s="10" t="s">
        <v>60</v>
      </c>
      <c r="L1" s="3" t="s">
        <v>62</v>
      </c>
    </row>
    <row r="2" spans="1:17">
      <c r="A2" s="10"/>
      <c r="B2" s="9"/>
      <c r="C2" s="10"/>
      <c r="F2" s="10"/>
      <c r="G2" s="10"/>
      <c r="H2" s="10"/>
    </row>
    <row r="3" spans="1:17">
      <c r="A3" s="10" t="s">
        <v>63</v>
      </c>
      <c r="B3" s="9">
        <v>1700</v>
      </c>
      <c r="C3" s="10" t="s">
        <v>64</v>
      </c>
      <c r="F3" s="10" t="s">
        <v>65</v>
      </c>
      <c r="G3" s="10">
        <v>800</v>
      </c>
      <c r="H3" s="10" t="s">
        <v>66</v>
      </c>
      <c r="L3" s="10"/>
      <c r="M3" s="10"/>
      <c r="N3" s="11"/>
      <c r="O3" s="12"/>
      <c r="P3" s="12" t="s">
        <v>67</v>
      </c>
      <c r="Q3" s="11" t="s">
        <v>60</v>
      </c>
    </row>
    <row r="4" spans="1:17">
      <c r="A4" s="10" t="s">
        <v>68</v>
      </c>
      <c r="B4" s="9">
        <v>22500</v>
      </c>
      <c r="C4" s="10" t="s">
        <v>64</v>
      </c>
      <c r="F4" s="10" t="s">
        <v>69</v>
      </c>
      <c r="G4" s="10">
        <v>800</v>
      </c>
      <c r="H4" s="10" t="s">
        <v>66</v>
      </c>
      <c r="L4" s="10" t="s">
        <v>70</v>
      </c>
      <c r="M4" s="10" t="s">
        <v>63</v>
      </c>
      <c r="N4" s="10"/>
      <c r="O4" s="9"/>
      <c r="P4" s="9">
        <v>1700</v>
      </c>
      <c r="Q4" s="10" t="s">
        <v>64</v>
      </c>
    </row>
    <row r="5" spans="1:17">
      <c r="A5" s="10" t="s">
        <v>71</v>
      </c>
      <c r="B5" s="9">
        <v>1500</v>
      </c>
      <c r="C5" s="10" t="s">
        <v>64</v>
      </c>
      <c r="F5" s="10"/>
      <c r="G5" s="10"/>
      <c r="H5" s="10"/>
      <c r="L5" s="10"/>
      <c r="M5" s="10" t="s">
        <v>68</v>
      </c>
      <c r="N5" s="10"/>
      <c r="O5" s="9"/>
      <c r="P5" s="9">
        <v>22500</v>
      </c>
      <c r="Q5" s="10" t="s">
        <v>64</v>
      </c>
    </row>
    <row r="6" spans="1:17">
      <c r="A6" s="10" t="s">
        <v>72</v>
      </c>
      <c r="B6" s="9">
        <v>50000</v>
      </c>
      <c r="C6" s="10" t="s">
        <v>73</v>
      </c>
      <c r="L6" s="10"/>
      <c r="M6" s="10" t="s">
        <v>71</v>
      </c>
      <c r="N6" s="10"/>
      <c r="O6" s="9"/>
      <c r="P6" s="9">
        <v>1500</v>
      </c>
      <c r="Q6" s="10" t="s">
        <v>64</v>
      </c>
    </row>
    <row r="7" spans="1:17">
      <c r="A7" s="10" t="s">
        <v>74</v>
      </c>
      <c r="B7" s="9">
        <v>1500</v>
      </c>
      <c r="C7" s="10" t="s">
        <v>73</v>
      </c>
      <c r="L7" s="10"/>
      <c r="M7" s="10" t="s">
        <v>72</v>
      </c>
      <c r="N7" s="10"/>
      <c r="O7" s="9"/>
      <c r="P7" s="9">
        <v>50000</v>
      </c>
      <c r="Q7" s="10" t="s">
        <v>73</v>
      </c>
    </row>
    <row r="8" spans="1:17">
      <c r="A8" s="10" t="s">
        <v>75</v>
      </c>
      <c r="B8" s="9">
        <v>150</v>
      </c>
      <c r="C8" s="10" t="s">
        <v>66</v>
      </c>
      <c r="L8" s="10"/>
      <c r="M8" s="10" t="s">
        <v>74</v>
      </c>
      <c r="N8" s="10"/>
      <c r="O8" s="9"/>
      <c r="P8" s="9">
        <v>1500</v>
      </c>
      <c r="Q8" s="10" t="s">
        <v>73</v>
      </c>
    </row>
    <row r="9" spans="1:17">
      <c r="A9" s="10" t="s">
        <v>76</v>
      </c>
      <c r="B9" s="9"/>
      <c r="C9" s="10"/>
      <c r="N9" s="11" t="s">
        <v>77</v>
      </c>
      <c r="O9" s="12" t="s">
        <v>78</v>
      </c>
      <c r="P9" s="12" t="s">
        <v>67</v>
      </c>
      <c r="Q9" s="11" t="s">
        <v>60</v>
      </c>
    </row>
    <row r="10" spans="1:17">
      <c r="A10" s="10" t="s">
        <v>79</v>
      </c>
      <c r="B10" s="9"/>
      <c r="C10" s="10"/>
      <c r="L10" s="10" t="s">
        <v>70</v>
      </c>
      <c r="M10" s="10" t="s">
        <v>80</v>
      </c>
      <c r="N10" s="10">
        <v>9.55</v>
      </c>
      <c r="O10" s="9">
        <v>340</v>
      </c>
      <c r="P10" s="9">
        <f>N10*O10</f>
        <v>3247</v>
      </c>
      <c r="Q10" s="10" t="s">
        <v>73</v>
      </c>
    </row>
    <row r="11" spans="1:17">
      <c r="A11" s="10" t="s">
        <v>81</v>
      </c>
      <c r="B11" s="9">
        <v>455</v>
      </c>
      <c r="C11" s="10" t="s">
        <v>66</v>
      </c>
      <c r="L11" s="10"/>
      <c r="M11" s="10"/>
      <c r="N11" s="11" t="s">
        <v>82</v>
      </c>
      <c r="O11" s="12" t="s">
        <v>78</v>
      </c>
      <c r="P11" s="12" t="s">
        <v>67</v>
      </c>
      <c r="Q11" s="11" t="s">
        <v>60</v>
      </c>
    </row>
    <row r="12" spans="1:17">
      <c r="A12" s="10" t="s">
        <v>83</v>
      </c>
      <c r="B12" s="9">
        <v>120</v>
      </c>
      <c r="C12" s="10" t="s">
        <v>66</v>
      </c>
      <c r="L12" s="10" t="s">
        <v>70</v>
      </c>
      <c r="M12" s="10" t="s">
        <v>84</v>
      </c>
      <c r="N12" s="10">
        <f>29+21</f>
        <v>50</v>
      </c>
      <c r="O12" s="9">
        <v>75</v>
      </c>
      <c r="P12" s="9">
        <f>N12*O12</f>
        <v>3750</v>
      </c>
      <c r="Q12" s="10" t="s">
        <v>66</v>
      </c>
    </row>
    <row r="13" spans="1:17">
      <c r="A13" s="10"/>
      <c r="B13" s="9"/>
      <c r="C13" s="10"/>
      <c r="L13" s="10"/>
      <c r="M13" s="10" t="s">
        <v>85</v>
      </c>
      <c r="N13" s="10">
        <v>10</v>
      </c>
      <c r="O13" s="9">
        <v>160</v>
      </c>
      <c r="P13" s="9">
        <f t="shared" ref="P13:P20" si="0">N13*O13</f>
        <v>1600</v>
      </c>
      <c r="Q13" s="10" t="s">
        <v>66</v>
      </c>
    </row>
    <row r="14" spans="1:17">
      <c r="A14" s="10"/>
      <c r="B14" s="9"/>
      <c r="C14" s="10"/>
      <c r="L14" s="10"/>
      <c r="M14" s="10" t="s">
        <v>86</v>
      </c>
      <c r="N14" s="10">
        <v>14.95</v>
      </c>
      <c r="O14" s="9">
        <v>65</v>
      </c>
      <c r="P14" s="9">
        <f t="shared" si="0"/>
        <v>971.75</v>
      </c>
      <c r="Q14" s="10" t="s">
        <v>66</v>
      </c>
    </row>
    <row r="15" spans="1:17">
      <c r="A15" s="10"/>
      <c r="B15" s="9"/>
      <c r="C15" s="10"/>
      <c r="L15" s="10"/>
      <c r="M15" s="10" t="s">
        <v>87</v>
      </c>
      <c r="N15" s="10">
        <v>3</v>
      </c>
      <c r="O15" s="9">
        <v>500</v>
      </c>
      <c r="P15" s="9">
        <f t="shared" si="0"/>
        <v>1500</v>
      </c>
      <c r="Q15" s="10" t="s">
        <v>66</v>
      </c>
    </row>
    <row r="16" spans="1:17">
      <c r="A16" s="10"/>
      <c r="B16" s="9"/>
      <c r="C16" s="10"/>
      <c r="L16" s="10"/>
      <c r="M16" s="10" t="s">
        <v>88</v>
      </c>
      <c r="N16" s="10">
        <v>7</v>
      </c>
      <c r="O16" s="9">
        <v>450</v>
      </c>
      <c r="P16" s="9">
        <f t="shared" si="0"/>
        <v>3150</v>
      </c>
      <c r="Q16" s="10" t="s">
        <v>66</v>
      </c>
    </row>
    <row r="17" spans="1:17">
      <c r="A17" s="10"/>
      <c r="B17" s="9"/>
      <c r="C17" s="10"/>
      <c r="L17" s="10"/>
      <c r="M17" s="10" t="s">
        <v>89</v>
      </c>
      <c r="N17" s="10">
        <v>15</v>
      </c>
      <c r="O17" s="9">
        <v>540</v>
      </c>
      <c r="P17" s="9">
        <f t="shared" si="0"/>
        <v>8100</v>
      </c>
      <c r="Q17" s="10" t="s">
        <v>66</v>
      </c>
    </row>
    <row r="18" spans="1:17">
      <c r="A18" s="10"/>
      <c r="B18" s="9"/>
      <c r="C18" s="10"/>
      <c r="L18" s="10"/>
      <c r="M18" s="10" t="s">
        <v>90</v>
      </c>
      <c r="N18" s="10">
        <v>50</v>
      </c>
      <c r="O18" s="9">
        <v>25</v>
      </c>
      <c r="P18" s="9">
        <f t="shared" si="0"/>
        <v>1250</v>
      </c>
      <c r="Q18" s="10" t="s">
        <v>66</v>
      </c>
    </row>
    <row r="19" spans="1:17">
      <c r="A19" s="11" t="s">
        <v>67</v>
      </c>
      <c r="B19" s="13">
        <f>SUM(B3:B16)</f>
        <v>77925</v>
      </c>
      <c r="C19" s="10"/>
      <c r="L19" s="10"/>
      <c r="M19" s="10" t="s">
        <v>91</v>
      </c>
      <c r="N19" s="10">
        <v>35</v>
      </c>
      <c r="O19" s="9">
        <v>3100</v>
      </c>
      <c r="P19" s="9">
        <f t="shared" si="0"/>
        <v>108500</v>
      </c>
      <c r="Q19" s="10" t="s">
        <v>66</v>
      </c>
    </row>
    <row r="20" spans="1:17">
      <c r="L20" s="10"/>
      <c r="M20" s="10" t="s">
        <v>92</v>
      </c>
      <c r="N20" s="10">
        <v>15</v>
      </c>
      <c r="O20" s="9">
        <v>2400</v>
      </c>
      <c r="P20" s="9">
        <f t="shared" si="0"/>
        <v>36000</v>
      </c>
      <c r="Q20" s="10" t="s">
        <v>66</v>
      </c>
    </row>
    <row r="21" spans="1:17">
      <c r="L21" s="10"/>
      <c r="M21" s="10" t="s">
        <v>93</v>
      </c>
      <c r="N21" s="10"/>
      <c r="O21" s="9"/>
      <c r="P21" s="9">
        <v>120</v>
      </c>
      <c r="Q21" s="10" t="s">
        <v>66</v>
      </c>
    </row>
    <row r="22" spans="1:17">
      <c r="L22" s="10"/>
      <c r="M22" s="10" t="s">
        <v>94</v>
      </c>
      <c r="N22" s="10"/>
      <c r="O22" s="9"/>
      <c r="P22" s="9">
        <v>150</v>
      </c>
      <c r="Q22" s="10" t="s">
        <v>66</v>
      </c>
    </row>
    <row r="23" spans="1:17">
      <c r="L23" s="10"/>
      <c r="M23" s="10" t="s">
        <v>95</v>
      </c>
      <c r="N23" s="10"/>
      <c r="O23" s="9"/>
      <c r="P23" s="9">
        <v>800</v>
      </c>
      <c r="Q23" s="10" t="s">
        <v>66</v>
      </c>
    </row>
    <row r="24" spans="1:17">
      <c r="L24" s="10"/>
      <c r="M24" s="10" t="s">
        <v>96</v>
      </c>
      <c r="N24" s="10"/>
      <c r="O24" s="9"/>
      <c r="P24" s="9">
        <v>800</v>
      </c>
      <c r="Q24" s="10" t="s">
        <v>66</v>
      </c>
    </row>
    <row r="25" spans="1:17">
      <c r="L25" s="10"/>
      <c r="M25" s="10" t="s">
        <v>81</v>
      </c>
      <c r="N25" s="10"/>
      <c r="O25" s="9"/>
      <c r="P25" s="9">
        <f>250+205</f>
        <v>455</v>
      </c>
      <c r="Q25" s="10" t="s">
        <v>66</v>
      </c>
    </row>
    <row r="26" spans="1:17">
      <c r="L26" s="10"/>
      <c r="M26" s="10" t="s">
        <v>97</v>
      </c>
      <c r="N26" s="10"/>
      <c r="O26" s="9"/>
      <c r="P26" s="9"/>
      <c r="Q26" s="10"/>
    </row>
    <row r="27" spans="1:17">
      <c r="L27" s="10"/>
      <c r="M27" s="10"/>
      <c r="N27" s="10"/>
      <c r="O27" s="9"/>
      <c r="P27" s="9"/>
      <c r="Q27" s="10"/>
    </row>
    <row r="28" spans="1:17">
      <c r="L28" s="10"/>
      <c r="M28" s="10"/>
      <c r="N28" s="10"/>
      <c r="O28" s="9"/>
      <c r="P28" s="9"/>
      <c r="Q28" s="10"/>
    </row>
    <row r="29" spans="1:17">
      <c r="L29" s="10"/>
      <c r="M29" s="10"/>
      <c r="N29" s="10"/>
      <c r="O29" s="9"/>
      <c r="P29" s="9"/>
      <c r="Q29" s="10"/>
    </row>
    <row r="30" spans="1:17">
      <c r="L30" s="10"/>
      <c r="M30" s="11" t="s">
        <v>67</v>
      </c>
      <c r="N30" s="10"/>
      <c r="O30" s="9"/>
      <c r="P30" s="13">
        <f>SUM(P4:P28)</f>
        <v>247593.75</v>
      </c>
      <c r="Q30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L16" sqref="L16"/>
    </sheetView>
  </sheetViews>
  <sheetFormatPr defaultColWidth="8.88888888888889" defaultRowHeight="14.4"/>
  <cols>
    <col min="1" max="1" width="14.5555555555556" customWidth="1"/>
    <col min="2" max="2" width="18.6666666666667" customWidth="1"/>
    <col min="3" max="3" width="16.5555555555556" customWidth="1"/>
    <col min="4" max="4" width="11.4444444444444" customWidth="1"/>
    <col min="5" max="5" width="11.2222222222222" style="2" customWidth="1"/>
    <col min="6" max="6" width="18.3333333333333" customWidth="1"/>
    <col min="7" max="7" width="13.1111111111111" customWidth="1"/>
    <col min="10" max="10" width="15.3333333333333" customWidth="1"/>
    <col min="11" max="11" width="14.4444444444444"/>
  </cols>
  <sheetData>
    <row r="1" spans="1:12">
      <c r="A1" s="3" t="s">
        <v>98</v>
      </c>
      <c r="J1" s="3" t="s">
        <v>99</v>
      </c>
    </row>
    <row r="3" spans="1:12">
      <c r="A3" s="4" t="s">
        <v>100</v>
      </c>
      <c r="B3" s="4" t="s">
        <v>101</v>
      </c>
      <c r="C3" s="4" t="s">
        <v>102</v>
      </c>
      <c r="D3" s="4" t="s">
        <v>77</v>
      </c>
      <c r="E3" s="5" t="s">
        <v>78</v>
      </c>
      <c r="F3" s="4" t="s">
        <v>67</v>
      </c>
      <c r="G3" s="4" t="s">
        <v>60</v>
      </c>
    </row>
    <row r="4" spans="1:12">
      <c r="A4" s="102" t="s">
        <v>103</v>
      </c>
      <c r="B4" t="s">
        <v>104</v>
      </c>
      <c r="C4" t="s">
        <v>105</v>
      </c>
      <c r="D4">
        <v>9.55</v>
      </c>
      <c r="E4" s="2">
        <v>530</v>
      </c>
      <c r="F4" s="2">
        <f>D4*E4</f>
        <v>5061.5</v>
      </c>
      <c r="G4" t="s">
        <v>106</v>
      </c>
      <c r="K4" s="4" t="s">
        <v>67</v>
      </c>
      <c r="L4" s="6" t="s">
        <v>60</v>
      </c>
    </row>
    <row r="5" spans="1:12">
      <c r="A5" s="102" t="s">
        <v>107</v>
      </c>
      <c r="B5" t="s">
        <v>108</v>
      </c>
      <c r="C5" t="s">
        <v>84</v>
      </c>
      <c r="D5">
        <v>50.5</v>
      </c>
      <c r="E5" s="2">
        <v>130</v>
      </c>
      <c r="F5" s="2">
        <f t="shared" ref="F5:F13" si="0">D5*E5</f>
        <v>6565</v>
      </c>
      <c r="G5" t="s">
        <v>109</v>
      </c>
      <c r="J5" t="s">
        <v>110</v>
      </c>
      <c r="K5" s="2">
        <v>50000</v>
      </c>
      <c r="L5" t="s">
        <v>73</v>
      </c>
    </row>
    <row r="6" spans="1:12">
      <c r="C6" t="s">
        <v>111</v>
      </c>
      <c r="D6">
        <v>10.04</v>
      </c>
      <c r="E6" s="2">
        <v>180</v>
      </c>
      <c r="F6" s="2">
        <f t="shared" si="0"/>
        <v>1807.2</v>
      </c>
      <c r="G6" t="s">
        <v>109</v>
      </c>
    </row>
    <row r="7" spans="1:12">
      <c r="C7" t="s">
        <v>86</v>
      </c>
      <c r="D7">
        <v>14.88</v>
      </c>
      <c r="E7" s="2">
        <v>140</v>
      </c>
      <c r="F7" s="2">
        <f t="shared" si="0"/>
        <v>2083.2</v>
      </c>
      <c r="G7" t="s">
        <v>109</v>
      </c>
    </row>
    <row r="8" spans="1:12">
      <c r="C8" t="s">
        <v>87</v>
      </c>
      <c r="D8">
        <v>24.42</v>
      </c>
      <c r="E8" s="2">
        <v>145</v>
      </c>
      <c r="F8" s="2">
        <f t="shared" si="0"/>
        <v>3540.9</v>
      </c>
      <c r="G8" t="s">
        <v>109</v>
      </c>
    </row>
    <row r="9" spans="1:12">
      <c r="C9" t="s">
        <v>88</v>
      </c>
      <c r="D9">
        <v>55.85</v>
      </c>
      <c r="E9" s="2">
        <v>130</v>
      </c>
      <c r="F9" s="2">
        <f t="shared" si="0"/>
        <v>7260.5</v>
      </c>
      <c r="G9" t="s">
        <v>109</v>
      </c>
    </row>
    <row r="10" spans="1:12">
      <c r="C10" t="s">
        <v>112</v>
      </c>
      <c r="D10">
        <v>99.82</v>
      </c>
      <c r="E10" s="2">
        <v>140</v>
      </c>
      <c r="F10" s="2">
        <f t="shared" si="0"/>
        <v>13974.8</v>
      </c>
      <c r="G10" t="s">
        <v>109</v>
      </c>
    </row>
    <row r="11" spans="1:12">
      <c r="C11" t="s">
        <v>90</v>
      </c>
      <c r="D11">
        <v>50.14</v>
      </c>
      <c r="E11" s="2">
        <v>60</v>
      </c>
      <c r="F11" s="2">
        <f t="shared" si="0"/>
        <v>3008.4</v>
      </c>
      <c r="G11" t="s">
        <v>109</v>
      </c>
    </row>
    <row r="12" spans="1:12">
      <c r="C12" t="s">
        <v>113</v>
      </c>
      <c r="D12">
        <v>35</v>
      </c>
      <c r="E12" s="2">
        <v>3600</v>
      </c>
      <c r="F12" s="2">
        <f t="shared" si="0"/>
        <v>126000</v>
      </c>
      <c r="G12" t="s">
        <v>109</v>
      </c>
    </row>
    <row r="13" spans="1:12">
      <c r="C13" t="s">
        <v>114</v>
      </c>
      <c r="D13">
        <v>15</v>
      </c>
      <c r="E13" s="2">
        <v>2850</v>
      </c>
      <c r="F13" s="2">
        <f t="shared" si="0"/>
        <v>42750</v>
      </c>
      <c r="G13" t="s">
        <v>109</v>
      </c>
    </row>
    <row r="23" spans="1:11">
      <c r="A23" s="1" t="s">
        <v>67</v>
      </c>
      <c r="F23" s="7">
        <f>SUM(F4:F13)</f>
        <v>212051.5</v>
      </c>
      <c r="J23" s="1" t="s">
        <v>67</v>
      </c>
      <c r="K23" s="7">
        <f>K5</f>
        <v>50000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2" sqref="A2:D4"/>
    </sheetView>
  </sheetViews>
  <sheetFormatPr defaultColWidth="8.88888888888889" defaultRowHeight="14.4" outlineLevelCol="6"/>
  <cols>
    <col min="1" max="1" width="23.2222222222222" customWidth="1"/>
    <col min="2" max="2" width="12.2222222222222" customWidth="1"/>
    <col min="3" max="3" width="19.5555555555556" customWidth="1"/>
    <col min="4" max="4" width="18.4444444444444" customWidth="1"/>
    <col min="6" max="6" width="18" customWidth="1"/>
    <col min="7" max="7" width="14.5555555555556" customWidth="1"/>
  </cols>
  <sheetData>
    <row r="1" spans="1:7">
      <c r="A1" s="1" t="s">
        <v>115</v>
      </c>
      <c r="F1" s="1" t="s">
        <v>116</v>
      </c>
    </row>
    <row r="2" spans="1:7">
      <c r="A2" t="s">
        <v>117</v>
      </c>
      <c r="B2" t="s">
        <v>118</v>
      </c>
      <c r="C2" s="102" t="s">
        <v>119</v>
      </c>
      <c r="D2" t="s">
        <v>120</v>
      </c>
      <c r="F2" t="s">
        <v>121</v>
      </c>
    </row>
    <row r="3" spans="1:7">
      <c r="C3" s="102" t="s">
        <v>122</v>
      </c>
      <c r="F3" t="s">
        <v>123</v>
      </c>
      <c r="G3" s="102" t="s">
        <v>124</v>
      </c>
    </row>
    <row r="4" spans="1:7">
      <c r="C4" s="102" t="s">
        <v>125</v>
      </c>
    </row>
    <row r="5" spans="1:7">
      <c r="F5" t="s">
        <v>104</v>
      </c>
    </row>
    <row r="6" spans="1:7">
      <c r="A6" t="s">
        <v>126</v>
      </c>
      <c r="C6" s="102" t="s">
        <v>127</v>
      </c>
      <c r="D6" t="s">
        <v>128</v>
      </c>
    </row>
    <row r="7" spans="1:7">
      <c r="C7" s="102" t="s">
        <v>129</v>
      </c>
    </row>
    <row r="9" spans="1:7">
      <c r="A9" t="s">
        <v>130</v>
      </c>
      <c r="B9" t="s">
        <v>131</v>
      </c>
      <c r="D9" t="s">
        <v>132</v>
      </c>
      <c r="F9" t="s">
        <v>133</v>
      </c>
    </row>
    <row r="10" spans="1:7">
      <c r="B10" t="s">
        <v>134</v>
      </c>
      <c r="F10" t="s">
        <v>135</v>
      </c>
      <c r="G10" s="102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PNL</vt:lpstr>
      <vt:lpstr>Expenses</vt:lpstr>
      <vt:lpstr>Receivables</vt:lpstr>
      <vt:lpstr>Contact 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jomarmetoliusvalley@hotmail.com</dc:creator>
  <cp:lastModifiedBy>Bernarditha Castro</cp:lastModifiedBy>
  <dcterms:created xsi:type="dcterms:W3CDTF">2026-07-23T01:47:00Z</dcterms:created>
  <dcterms:modified xsi:type="dcterms:W3CDTF">2026-07-25T11:15:17Z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C68084E2E0B14FD0AEE617E63E39CC89_13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